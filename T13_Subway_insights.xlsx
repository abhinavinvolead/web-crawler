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Raw)" sheetId="1" state="visible" r:id="rId1"/>
    <sheet name="Places (Raw)" sheetId="2" state="visible" r:id="rId2"/>
    <sheet name="Comparative Metrics" sheetId="3" state="visible" r:id="rId3"/>
    <sheet name="Aspect Deltas" sheetId="4" state="visible" r:id="rId4"/>
    <sheet name="Monthly Trend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sz val="14"/>
    </font>
    <font>
      <name val="Arial"/>
      <b val="1"/>
      <color rgb="00FFFFFF"/>
      <sz val="10"/>
    </font>
    <font>
      <name val="Arial"/>
      <sz val="10"/>
    </font>
    <font>
      <name val="Arial"/>
      <b val="1"/>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top"/>
    </xf>
    <xf numFmtId="0" fontId="3" fillId="0" borderId="0" pivotButton="0" quotePrefix="0" xfId="0"/>
    <xf numFmtId="164" fontId="3" fillId="0" borderId="0" pivotButton="0" quotePrefix="0" xfId="0"/>
    <xf numFmtId="2"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Sentiment Trends Over Time</a:t>
            </a:r>
          </a:p>
        </rich>
      </tx>
    </title>
    <plotArea>
      <lineChart>
        <grouping val="standard"/>
        <ser>
          <idx val="0"/>
          <order val="0"/>
          <tx>
            <strRef>
              <f>'Monthly Trends'!B3</f>
            </strRef>
          </tx>
          <spPr>
            <a:ln>
              <a:prstDash val="solid"/>
            </a:ln>
          </spPr>
          <marker>
            <symbol val="none"/>
            <spPr>
              <a:ln>
                <a:prstDash val="solid"/>
              </a:ln>
            </spPr>
          </marker>
          <cat>
            <numRef>
              <f>'Monthly Trends'!$A$4:$A$12</f>
            </numRef>
          </cat>
          <val>
            <numRef>
              <f>'Monthly Trends'!$B$4:$B$12</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Average Sentiment (-1 to 1)</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5" customWidth="1" min="1" max="1"/>
    <col width="15" customWidth="1" min="2" max="2"/>
    <col width="15" customWidth="1" min="3" max="3"/>
    <col width="20" customWidth="1" min="4" max="4"/>
    <col width="15" customWidth="1" min="5" max="5"/>
    <col width="12" customWidth="1" min="6" max="6"/>
    <col width="8" customWidth="1" min="7" max="7"/>
    <col width="12" customWidth="1" min="8" max="8"/>
    <col width="80" customWidth="1" min="9" max="9"/>
    <col width="20" customWidth="1" min="10" max="10"/>
  </cols>
  <sheetData>
    <row r="1">
      <c r="A1" s="1" t="inlineStr">
        <is>
          <t>Extracted Reviews for Study: T13 Subway</t>
        </is>
      </c>
    </row>
    <row r="3">
      <c r="A3" s="2" t="inlineStr">
        <is>
          <t>Brand</t>
        </is>
      </c>
      <c r="B3" s="2" t="inlineStr">
        <is>
          <t>Source</t>
        </is>
      </c>
      <c r="C3" s="2" t="inlineStr">
        <is>
          <t>Place ID</t>
        </is>
      </c>
      <c r="D3" s="2" t="inlineStr">
        <is>
          <t>Place Name</t>
        </is>
      </c>
      <c r="E3" s="2" t="inlineStr">
        <is>
          <t>Review ID</t>
        </is>
      </c>
      <c r="F3" s="2" t="inlineStr">
        <is>
          <t>Date</t>
        </is>
      </c>
      <c r="G3" s="2" t="inlineStr">
        <is>
          <t>Rating</t>
        </is>
      </c>
      <c r="H3" s="2" t="inlineStr">
        <is>
          <t>Sentiment</t>
        </is>
      </c>
      <c r="I3" s="2" t="inlineStr">
        <is>
          <t>Text</t>
        </is>
      </c>
      <c r="J3" s="2" t="inlineStr">
        <is>
          <t>URL</t>
        </is>
      </c>
    </row>
    <row r="4">
      <c r="A4" s="3" t="inlineStr">
        <is>
          <t>Subway</t>
        </is>
      </c>
      <c r="B4" s="3" t="inlineStr">
        <is>
          <t>google_maps</t>
        </is>
      </c>
      <c r="C4" s="3" t="inlineStr">
        <is>
          <t>ChIJf2wDyphZwokRsWXWkbCegPk</t>
        </is>
      </c>
      <c r="D4" s="3" t="inlineStr">
        <is>
          <t>Subway</t>
        </is>
      </c>
      <c r="E4" s="3" t="inlineStr">
        <is>
          <t>top-4b8e4bada1a8ad45</t>
        </is>
      </c>
      <c r="F4" s="3" t="inlineStr">
        <is>
          <t>2026-09-01</t>
        </is>
      </c>
      <c r="G4" s="3" t="n">
        <v>2</v>
      </c>
      <c r="H4" s="3" t="inlineStr">
        <is>
          <t>N/A</t>
        </is>
      </c>
      <c r="I4" s="3" t="inlineStr">
        <is>
          <t>poor customer service they don’t like to answer from customers.
There’s only one table and 4 chairs. you can’t even relax eating here.</t>
        </is>
      </c>
      <c r="J4" s="3" t="inlineStr">
        <is>
          <t>https://www.google.com/maps/place/Subway/@40.7343223,-73.9889831,17z/data=!3m1!4b1!4m6!3m5!1s0x89c25998ca036c7f:0xf9809eb091d665b1!8m2!3d40.7343223!4d-73.9889831!16s%2Fg%2F1tjv4fbq?authuser=0&amp;hl=en&amp;entry=ttu&amp;g_ep=EgoyMDI2MTAwNy4wIKXMDSoASAFQAw%3D%3D</t>
        </is>
      </c>
    </row>
    <row r="5">
      <c r="A5" s="3" t="inlineStr">
        <is>
          <t>Subway</t>
        </is>
      </c>
      <c r="B5" s="3" t="inlineStr">
        <is>
          <t>google_maps</t>
        </is>
      </c>
      <c r="C5" s="3" t="inlineStr">
        <is>
          <t>ChIJf2wDyphZwokRsWXWkbCegPk</t>
        </is>
      </c>
      <c r="D5" s="3" t="inlineStr">
        <is>
          <t>Subway</t>
        </is>
      </c>
      <c r="E5" s="3" t="inlineStr">
        <is>
          <t>top-5a2bebd89fc10623</t>
        </is>
      </c>
      <c r="F5" s="3" t="inlineStr">
        <is>
          <t>2026-08-24</t>
        </is>
      </c>
      <c r="G5" s="3" t="n">
        <v>1</v>
      </c>
      <c r="H5" s="3" t="inlineStr">
        <is>
          <t>N/A</t>
        </is>
      </c>
      <c r="I5" s="3" t="inlineStr">
        <is>
          <t>So i went in today, but let’s say i go in often, i usually go in and buy cookies. There’s a male cashier with glasses that always seems like he’s in a bad mood but I get it, it’s hot out and maybe he doesnt want to be there. Me, on the other hand, am empathetic to that fact so I try to be as patient and understanding as possible. So I walk in and the male with the glasses is behind the register, along with another employee. I know he’s the cashier since he’s rung me up multiple times. The other guy had a broom. They both look at me , the cashier with the glasses doesnt even acknowledge me, walks away from the food area and starts to clean tables and the soda area. Mind you, there was only one other customer in there and he was sitting down, eating. The employee with the broom, asked me what I needed, i said “i just want cookies” he looks at the cashier as in like “this is your sector” but the cashier just pretended like he didnt see or know what was going on. It’s usually the guy with the glasses and the short woman who rings, she’s cool. He either needs training or switch positions with the maintenance guy because he had more customer service etiquette than the bozo with the glasses.</t>
        </is>
      </c>
      <c r="J5" s="3" t="inlineStr">
        <is>
          <t>https://www.google.com/maps/place/Subway/@40.7343223,-73.9889831,17z/data=!3m1!4b1!4m6!3m5!1s0x89c25998ca036c7f:0xf9809eb091d665b1!8m2!3d40.7343223!4d-73.9889831!16s%2Fg%2F1tjv4fbq?authuser=0&amp;hl=en&amp;entry=ttu&amp;g_ep=EgoyMDI2MTAwNy4wIKXMDSoASAFQAw%3D%3D</t>
        </is>
      </c>
    </row>
    <row r="6">
      <c r="A6" s="3" t="inlineStr">
        <is>
          <t>Subway</t>
        </is>
      </c>
      <c r="B6" s="3" t="inlineStr">
        <is>
          <t>google_maps</t>
        </is>
      </c>
      <c r="C6" s="3" t="inlineStr">
        <is>
          <t>ChIJmfeCa1HHwoARbPQGXWFFZZM</t>
        </is>
      </c>
      <c r="D6" s="3" t="inlineStr">
        <is>
          <t>Subway</t>
        </is>
      </c>
      <c r="E6" s="3" t="inlineStr">
        <is>
          <t>top-8153a2d5f4d641c2</t>
        </is>
      </c>
      <c r="F6" s="3" t="inlineStr">
        <is>
          <t>2026-08-16</t>
        </is>
      </c>
      <c r="G6" s="3" t="n">
        <v>1</v>
      </c>
      <c r="H6" s="3" t="inlineStr">
        <is>
          <t>N/A</t>
        </is>
      </c>
      <c r="I6" s="3" t="inlineStr">
        <is>
          <t>Terrible service the very young man who work after midnight  8/16 1:40am has no training of how to prepare the foot long I paid over twenty dollars and I was almost begging for stuffing the sandwich with meat as I like my subs and he was so rude and unprofessional surly I never go back to this branch … one  of the worst customer service ever had at the subways hope his managmer read this comment and do some training of how to keep customers satisfied with their own choice of food.</t>
        </is>
      </c>
      <c r="J6" s="3" t="inlineStr">
        <is>
          <t>https://www.google.com/maps/place/Subway/data=!4m7!3m6!1s0x80c2c7516b82f799:0x936545615d06f46c!8m2!3d34.0902684!4d-118.2915331!16s%2Fg%2F1v41_qwt!19sChIJmfeCa1HHwoARbPQGXWFFZZM?authuser=0&amp;hl=en&amp;rclk=1</t>
        </is>
      </c>
    </row>
    <row r="7">
      <c r="A7" s="3" t="inlineStr">
        <is>
          <t>Subway</t>
        </is>
      </c>
      <c r="B7" s="3" t="inlineStr">
        <is>
          <t>google_maps</t>
        </is>
      </c>
      <c r="C7" s="3" t="inlineStr">
        <is>
          <t>ChIJFdlGXhFawokR7lPqXwaGirc</t>
        </is>
      </c>
      <c r="D7" s="3" t="inlineStr">
        <is>
          <t>Subway</t>
        </is>
      </c>
      <c r="E7" s="3" t="inlineStr">
        <is>
          <t>top-979b20023c7acd07</t>
        </is>
      </c>
      <c r="F7" s="3" t="inlineStr">
        <is>
          <t>2026-08-02</t>
        </is>
      </c>
      <c r="G7" s="3" t="n">
        <v>1</v>
      </c>
      <c r="H7" s="3" t="inlineStr">
        <is>
          <t>N/A</t>
        </is>
      </c>
      <c r="I7" s="3" t="inlineStr">
        <is>
          <t>I had a disappointing experience at this Subway. The food was below standard and didn't seem fresh or well prepared. What made the visit worse was the employee's attitude—they were rude and unwilling to listen to my concerns or requests, which made the interaction frustrating.
The only positive aspect of this location is its convenient location. Unfortunately, good accessibility alone isn't enough to make up for poor food quality and customer service. I hope the management addresses these issues to improve the overall experience.</t>
        </is>
      </c>
      <c r="J7" s="3" t="inlineStr">
        <is>
          <t>https://www.google.com/maps/place/Subway/@40.7051201,-74.0140463,17z/data=!3m1!4b1!4m6!3m5!1s0x89c25a115e46d915:0xb78a86065fea53ee!8m2!3d40.7051201!4d-74.0140463!16s%2Fg%2F1tfgkr14?authuser=0&amp;hl=en&amp;entry=ttu&amp;g_ep=EgoyMDI2MTAwNy4wIKXMDSoASAFQAw%3D%3D</t>
        </is>
      </c>
    </row>
    <row r="8">
      <c r="A8" s="3" t="inlineStr">
        <is>
          <t>Subway</t>
        </is>
      </c>
      <c r="B8" s="3" t="inlineStr">
        <is>
          <t>google_maps</t>
        </is>
      </c>
      <c r="C8" s="3" t="inlineStr">
        <is>
          <t>ChIJFdlGXhFawokR7lPqXwaGirc</t>
        </is>
      </c>
      <c r="D8" s="3" t="inlineStr">
        <is>
          <t>Subway</t>
        </is>
      </c>
      <c r="E8" s="3" t="inlineStr">
        <is>
          <t>top-33af5b77654386fc</t>
        </is>
      </c>
      <c r="F8" s="3" t="inlineStr">
        <is>
          <t>2026-07-14</t>
        </is>
      </c>
      <c r="G8" s="3" t="n">
        <v>1</v>
      </c>
      <c r="H8" s="3" t="inlineStr">
        <is>
          <t>N/A</t>
        </is>
      </c>
      <c r="I8" s="3" t="inlineStr">
        <is>
          <t>Food is a std subway but bit pricey
Service was poor, not ready to listen customer.
Not able to understand language
No restroom. Place is not clean
Very rude, not giving water for kids even we ate in the very same resturant. There other good options.</t>
        </is>
      </c>
      <c r="J8" s="3" t="inlineStr">
        <is>
          <t>https://www.google.com/maps/place/Subway/@40.7051201,-74.0140463,17z/data=!3m1!4b1!4m6!3m5!1s0x89c25a115e46d915:0xb78a86065fea53ee!8m2!3d40.7051201!4d-74.0140463!16s%2Fg%2F1tfgkr14?authuser=0&amp;hl=en&amp;entry=ttu&amp;g_ep=EgoyMDI2MTAwNy4wIKXMDSoASAFQAw%3D%3D</t>
        </is>
      </c>
    </row>
    <row r="9">
      <c r="A9" s="3" t="inlineStr">
        <is>
          <t>Subway</t>
        </is>
      </c>
      <c r="B9" s="3" t="inlineStr">
        <is>
          <t>google_maps</t>
        </is>
      </c>
      <c r="C9" s="3" t="inlineStr">
        <is>
          <t>ChIJf2wDyphZwokRsWXWkbCegPk</t>
        </is>
      </c>
      <c r="D9" s="3" t="inlineStr">
        <is>
          <t>Subway</t>
        </is>
      </c>
      <c r="E9" s="3" t="inlineStr">
        <is>
          <t>top-5e96bc83fc1bc51d</t>
        </is>
      </c>
      <c r="F9" s="3" t="inlineStr">
        <is>
          <t>2026-05-19</t>
        </is>
      </c>
      <c r="G9" s="3" t="n">
        <v>5</v>
      </c>
      <c r="H9" s="3" t="inlineStr">
        <is>
          <t>N/A</t>
        </is>
      </c>
      <c r="I9" s="3" t="inlineStr">
        <is>
          <t>tushi so nice she was so polite and very clean there i will make this my go too shop</t>
        </is>
      </c>
      <c r="J9" s="3" t="inlineStr">
        <is>
          <t>https://www.google.com/maps/place/Subway/@40.7343223,-73.9889831,17z/data=!3m1!4b1!4m6!3m5!1s0x89c25998ca036c7f:0xf9809eb091d665b1!8m2!3d40.7343223!4d-73.9889831!16s%2Fg%2F1tjv4fbq?authuser=0&amp;hl=en&amp;entry=ttu&amp;g_ep=EgoyMDI2MTAwNy4wIKXMDSoASAFQAw%3D%3D</t>
        </is>
      </c>
    </row>
    <row r="10">
      <c r="A10" s="3" t="inlineStr">
        <is>
          <t>Subway</t>
        </is>
      </c>
      <c r="B10" s="3" t="inlineStr">
        <is>
          <t>google_maps</t>
        </is>
      </c>
      <c r="C10" s="3" t="inlineStr">
        <is>
          <t>ChIJmfeCa1HHwoARbPQGXWFFZZM</t>
        </is>
      </c>
      <c r="D10" s="3" t="inlineStr">
        <is>
          <t>Subway</t>
        </is>
      </c>
      <c r="E10" s="3" t="inlineStr">
        <is>
          <t>top-28e2b1ea0451c58c</t>
        </is>
      </c>
      <c r="F10" s="3" t="inlineStr">
        <is>
          <t>2026-04-27</t>
        </is>
      </c>
      <c r="G10" s="3" t="n">
        <v>5</v>
      </c>
      <c r="H10" s="3" t="inlineStr">
        <is>
          <t>N/A</t>
        </is>
      </c>
      <c r="I10" s="3" t="inlineStr">
        <is>
          <t>I was very happy with my sandwich I went today at 8:47 pm 04/26/26 the two employees that were working were awesome they helped with using the app to redeem my free footlong, my sandwich was made really good taste better then the last location I visited a few months ago. My husband also mentioned that he enjoyed his sandwich that they made his sandwich good. Thank you Sub way staff also for the rewards.</t>
        </is>
      </c>
      <c r="J10" s="3" t="inlineStr">
        <is>
          <t>https://www.google.com/maps/place/Subway/data=!4m7!3m6!1s0x80c2c7516b82f799:0x936545615d06f46c!8m2!3d34.0902684!4d-118.2915331!16s%2Fg%2F1v41_qwt!19sChIJmfeCa1HHwoARbPQGXWFFZZM?authuser=0&amp;hl=en&amp;rclk=1</t>
        </is>
      </c>
    </row>
    <row r="11">
      <c r="A11" s="3" t="inlineStr">
        <is>
          <t>Subway</t>
        </is>
      </c>
      <c r="B11" s="3" t="inlineStr">
        <is>
          <t>google_maps</t>
        </is>
      </c>
      <c r="C11" s="3" t="inlineStr">
        <is>
          <t>ChIJFdlGXhFawokR7lPqXwaGirc</t>
        </is>
      </c>
      <c r="D11" s="3" t="inlineStr">
        <is>
          <t>Subway</t>
        </is>
      </c>
      <c r="E11" s="3" t="inlineStr">
        <is>
          <t>top-d2ec6b1fcbe64fb9</t>
        </is>
      </c>
      <c r="F11" s="3" t="inlineStr">
        <is>
          <t>2026-04-14</t>
        </is>
      </c>
      <c r="G11" s="3" t="n">
        <v>5</v>
      </c>
      <c r="H11" s="3" t="inlineStr">
        <is>
          <t>N/A</t>
        </is>
      </c>
      <c r="I11" s="3" t="inlineStr">
        <is>
          <t>Solid spot for a quick and customizable meal. The ingredients were fresh, and the sandwich was made exactly how I asked. Staff was friendly and efficient, even during a busy time. Good option if you’re looking for something fast but still filling.</t>
        </is>
      </c>
      <c r="J11" s="3" t="inlineStr">
        <is>
          <t>https://www.google.com/maps/place/Subway/@40.7051201,-74.0140463,17z/data=!3m1!4b1!4m6!3m5!1s0x89c25a115e46d915:0xb78a86065fea53ee!8m2!3d40.7051201!4d-74.0140463!16s%2Fg%2F1tfgkr14?authuser=0&amp;hl=en&amp;entry=ttu&amp;g_ep=EgoyMDI2MTAwNy4wIKXMDSoASAFQAw%3D%3D</t>
        </is>
      </c>
    </row>
    <row r="12">
      <c r="A12" s="3" t="inlineStr">
        <is>
          <t>Subway</t>
        </is>
      </c>
      <c r="B12" s="3" t="inlineStr">
        <is>
          <t>google_maps</t>
        </is>
      </c>
      <c r="C12" s="3" t="inlineStr">
        <is>
          <t>ChIJFdlGXhFawokR7lPqXwaGirc</t>
        </is>
      </c>
      <c r="D12" s="3" t="inlineStr">
        <is>
          <t>Subway</t>
        </is>
      </c>
      <c r="E12" s="3" t="inlineStr">
        <is>
          <t>top-02e3be039f4e6e04</t>
        </is>
      </c>
      <c r="F12" s="3" t="inlineStr">
        <is>
          <t>2026-04-07</t>
        </is>
      </c>
      <c r="G12" s="3" t="n">
        <v>1</v>
      </c>
      <c r="H12" s="3" t="inlineStr">
        <is>
          <t>N/A</t>
        </is>
      </c>
      <c r="I12" s="3" t="inlineStr">
        <is>
          <t>Disappointing pro max !!!!!!! 👎
The footlong was pretty standard, similar to other Subway locations, but the service was very disappointing. The staff member was quite rude and ignored my request to add extra veggies. When I pointed it out, he insisted that more had already been added, which wasn’t true—in fact, there were fewer veggies than usual. I have never ever seen such low food quality of subway and rude staff than here. Overall, a disappointing experience at this branch—1/5. Veryyyyy badddd !!!!!!</t>
        </is>
      </c>
      <c r="J12" s="3" t="inlineStr">
        <is>
          <t>https://www.google.com/maps/place/Subway/@40.7051201,-74.0140463,17z/data=!3m1!4b1!4m6!3m5!1s0x89c25a115e46d915:0xb78a86065fea53ee!8m2!3d40.7051201!4d-74.0140463!16s%2Fg%2F1tfgkr14?authuser=0&amp;hl=en&amp;entry=ttu&amp;g_ep=EgoyMDI2MTAwNy4wIKXMDSoASAFQAw%3D%3D</t>
        </is>
      </c>
    </row>
    <row r="13">
      <c r="A13" s="3" t="inlineStr">
        <is>
          <t>Subway</t>
        </is>
      </c>
      <c r="B13" s="3" t="inlineStr">
        <is>
          <t>google_maps</t>
        </is>
      </c>
      <c r="C13" s="3" t="inlineStr">
        <is>
          <t>ChIJFdlGXhFawokR7lPqXwaGirc</t>
        </is>
      </c>
      <c r="D13" s="3" t="inlineStr">
        <is>
          <t>Subway</t>
        </is>
      </c>
      <c r="E13" s="3" t="inlineStr">
        <is>
          <t>top-6518aa1175be4c8a</t>
        </is>
      </c>
      <c r="F13" s="3" t="inlineStr">
        <is>
          <t>2026-03-17</t>
        </is>
      </c>
      <c r="G13" s="3" t="n">
        <v>2</v>
      </c>
      <c r="H13" s="3" t="inlineStr">
        <is>
          <t>N/A</t>
        </is>
      </c>
      <c r="I13" s="3" t="inlineStr">
        <is>
          <t>Food was decent and flavorful, but the overall experience was just okay. The service wasn’t very welcoming, and a few things were disappointing—there’s a soda refill machine, but refills aren’t free, which feels misleading. They also only offer paper bags for takeout and have a very limited chip selection. Not terrible, but definitely room for improvement. And price was heavy! I paid $28</t>
        </is>
      </c>
      <c r="J13" s="3" t="inlineStr">
        <is>
          <t>https://www.google.com/maps/place/Subway/@40.7051201,-74.0140463,17z/data=!3m1!4b1!4m6!3m5!1s0x89c25a115e46d915:0xb78a86065fea53ee!8m2!3d40.7051201!4d-74.0140463!16s%2Fg%2F1tfgkr14?authuser=0&amp;hl=en&amp;entry=ttu&amp;g_ep=EgoyMDI2MTAwNy4wIKXMDSoASAFQAw%3D%3D</t>
        </is>
      </c>
    </row>
    <row r="14">
      <c r="A14" s="3" t="inlineStr">
        <is>
          <t>Subway</t>
        </is>
      </c>
      <c r="B14" s="3" t="inlineStr">
        <is>
          <t>google_maps</t>
        </is>
      </c>
      <c r="C14" s="3" t="inlineStr">
        <is>
          <t>ChIJf2wDyphZwokRsWXWkbCegPk</t>
        </is>
      </c>
      <c r="D14" s="3" t="inlineStr">
        <is>
          <t>Subway</t>
        </is>
      </c>
      <c r="E14" s="3" t="inlineStr">
        <is>
          <t>top-dcc9b0e6aafe7991</t>
        </is>
      </c>
      <c r="F14" s="3" t="inlineStr">
        <is>
          <t>2026-03-08</t>
        </is>
      </c>
      <c r="G14" s="3" t="n">
        <v>5</v>
      </c>
      <c r="H14" s="3" t="inlineStr">
        <is>
          <t>N/A</t>
        </is>
      </c>
      <c r="I14" s="3" t="inlineStr">
        <is>
          <t>Vinny is a great guy. Awesome customer service makes me feel like family. I come often and he always makes my sandwich perfectly. He always makes me smile with his positive attitude.</t>
        </is>
      </c>
      <c r="J14" s="3" t="inlineStr">
        <is>
          <t>https://www.google.com/maps/place/Subway/@40.7343223,-73.9889831,17z/data=!3m1!4b1!4m6!3m5!1s0x89c25998ca036c7f:0xf9809eb091d665b1!8m2!3d40.7343223!4d-73.9889831!16s%2Fg%2F1tjv4fbq?authuser=0&amp;hl=en&amp;entry=ttu&amp;g_ep=EgoyMDI2MTAwNy4wIKXMDSoASAFQAw%3D%3D</t>
        </is>
      </c>
    </row>
    <row r="15">
      <c r="A15" s="3" t="inlineStr">
        <is>
          <t>Subway</t>
        </is>
      </c>
      <c r="B15" s="3" t="inlineStr">
        <is>
          <t>google_maps</t>
        </is>
      </c>
      <c r="C15" s="3" t="inlineStr">
        <is>
          <t>ChIJf2wDyphZwokRsWXWkbCegPk</t>
        </is>
      </c>
      <c r="D15" s="3" t="inlineStr">
        <is>
          <t>Subway</t>
        </is>
      </c>
      <c r="E15" s="3" t="inlineStr">
        <is>
          <t>top-31273ff83f5eb93a</t>
        </is>
      </c>
      <c r="F15" s="3" t="inlineStr">
        <is>
          <t>2026-03-05</t>
        </is>
      </c>
      <c r="G15" s="3" t="n">
        <v>5</v>
      </c>
      <c r="H15" s="3" t="inlineStr">
        <is>
          <t>N/A</t>
        </is>
      </c>
      <c r="I15" s="3" t="inlineStr">
        <is>
          <t>Nice customer service Vinny all fresh ingredients I love it</t>
        </is>
      </c>
      <c r="J15" s="3" t="inlineStr">
        <is>
          <t>https://www.google.com/maps/place/Subway/@40.7343223,-73.9889831,17z/data=!3m1!4b1!4m6!3m5!1s0x89c25998ca036c7f:0xf9809eb091d665b1!8m2!3d40.7343223!4d-73.9889831!16s%2Fg%2F1tjv4fbq?authuser=0&amp;hl=en&amp;entry=ttu&amp;g_ep=EgoyMDI2MTAwNy4wIKXMDSoASAFQAw%3D%3D</t>
        </is>
      </c>
    </row>
    <row r="16">
      <c r="A16" s="3" t="inlineStr">
        <is>
          <t>Subway</t>
        </is>
      </c>
      <c r="B16" s="3" t="inlineStr">
        <is>
          <t>google_maps</t>
        </is>
      </c>
      <c r="C16" s="3" t="inlineStr">
        <is>
          <t>ChIJmfeCa1HHwoARbPQGXWFFZZM</t>
        </is>
      </c>
      <c r="D16" s="3" t="inlineStr">
        <is>
          <t>Subway</t>
        </is>
      </c>
      <c r="E16" s="3" t="inlineStr">
        <is>
          <t>top-0440490b8908c6cd</t>
        </is>
      </c>
      <c r="F16" s="3" t="inlineStr">
        <is>
          <t>2026-01-20</t>
        </is>
      </c>
      <c r="G16" s="3" t="n">
        <v>5</v>
      </c>
      <c r="H16" s="3" t="inlineStr">
        <is>
          <t>N/A</t>
        </is>
      </c>
      <c r="I16" s="3" t="inlineStr">
        <is>
          <t>I ordered the $7 meal deal and it comes with a drink. I purchased everything, but forgot my drink. I was already down the block and Joseph went out of his way to make sure I had my drink,  “l you forgot your drink”  such great customer service.  Joseph, this place needs you!</t>
        </is>
      </c>
      <c r="J16" s="3" t="inlineStr">
        <is>
          <t>https://www.google.com/maps/place/Subway/data=!4m7!3m6!1s0x80c2c7516b82f799:0x936545615d06f46c!8m2!3d34.0902684!4d-118.2915331!16s%2Fg%2F1v41_qwt!19sChIJmfeCa1HHwoARbPQGXWFFZZM?authuser=0&amp;hl=en&amp;rclk=1</t>
        </is>
      </c>
    </row>
    <row r="17">
      <c r="A17" s="3" t="inlineStr">
        <is>
          <t>Subway</t>
        </is>
      </c>
      <c r="B17" s="3" t="inlineStr">
        <is>
          <t>google_maps</t>
        </is>
      </c>
      <c r="C17" s="3" t="inlineStr">
        <is>
          <t>ChIJmfeCa1HHwoARbPQGXWFFZZM</t>
        </is>
      </c>
      <c r="D17" s="3" t="inlineStr">
        <is>
          <t>Subway</t>
        </is>
      </c>
      <c r="E17" s="3" t="inlineStr">
        <is>
          <t>top-686a110a2a901f9f</t>
        </is>
      </c>
      <c r="F17" s="3" t="inlineStr">
        <is>
          <t>2025-11-22</t>
        </is>
      </c>
      <c r="G17" s="3" t="n">
        <v>1</v>
      </c>
      <c r="H17" s="3" t="inlineStr">
        <is>
          <t>N/A</t>
        </is>
      </c>
      <c r="I17" s="3" t="inlineStr">
        <is>
          <t>I been to this subway more then once and never had a problem until today. This will be the last time I come here late at night I went like around 10:30pm. The African American woman was not friendly she acted like she was bothered to make my sandwich when I was being respectful since I walked in. I noticed when it came to the same raise as her she made there sandwich properly but when it came to mine it was like i dont care. She put extra mayo that I didnt ask for.</t>
        </is>
      </c>
      <c r="J17" s="3" t="inlineStr">
        <is>
          <t>https://www.google.com/maps/place/Subway/data=!4m7!3m6!1s0x80c2c7516b82f799:0x936545615d06f46c!8m2!3d34.0902684!4d-118.2915331!16s%2Fg%2F1v41_qwt!19sChIJmfeCa1HHwoARbPQGXWFFZZM?authuser=0&amp;hl=en&amp;rclk=1</t>
        </is>
      </c>
    </row>
    <row r="18">
      <c r="A18" s="3" t="inlineStr">
        <is>
          <t>Subway</t>
        </is>
      </c>
      <c r="B18" s="3" t="inlineStr">
        <is>
          <t>google_maps</t>
        </is>
      </c>
      <c r="C18" s="3" t="inlineStr">
        <is>
          <t>ChIJmfeCa1HHwoARbPQGXWFFZZM</t>
        </is>
      </c>
      <c r="D18" s="3" t="inlineStr">
        <is>
          <t>Subway</t>
        </is>
      </c>
      <c r="E18" s="3" t="inlineStr">
        <is>
          <t>top-c708db640ebaac0a</t>
        </is>
      </c>
      <c r="F18" s="3" t="inlineStr">
        <is>
          <t>2023-08-17</t>
        </is>
      </c>
      <c r="G18" s="3" t="n">
        <v>4</v>
      </c>
      <c r="H18" s="3" t="inlineStr">
        <is>
          <t>N/A</t>
        </is>
      </c>
      <c r="I18" s="3" t="inlineStr">
        <is>
          <t>Solid 4 stars. I got Ultimate BMT sandwich.
Everything was fresh and delicious. The bread wasn't that fresh or was cooked in not really proper way I don't know. Was kinda spongy and not really tasty. That was the only downside</t>
        </is>
      </c>
      <c r="J18" s="3" t="inlineStr">
        <is>
          <t>https://www.google.com/maps/place/Subway/data=!4m7!3m6!1s0x80c2c7516b82f799:0x936545615d06f46c!8m2!3d34.0902684!4d-118.2915331!16s%2Fg%2F1v41_qwt!19sChIJmfeCa1HHwoARbPQGXWFFZZM?authuser=0&amp;hl=en&amp;rclk=1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5" customWidth="1" min="1" max="1"/>
    <col width="15" customWidth="1" min="2" max="2"/>
    <col width="15" customWidth="1" min="3" max="3"/>
    <col width="20" customWidth="1" min="4" max="4"/>
    <col width="30" customWidth="1" min="5" max="5"/>
    <col width="8" customWidth="1" min="6" max="6"/>
    <col width="12" customWidth="1" min="7" max="7"/>
    <col width="30" customWidth="1" min="8" max="8"/>
  </cols>
  <sheetData>
    <row r="1">
      <c r="A1" s="1" t="inlineStr">
        <is>
          <t>Places Extracted from Web API</t>
        </is>
      </c>
    </row>
    <row r="3">
      <c r="A3" s="2" t="inlineStr">
        <is>
          <t>Brand</t>
        </is>
      </c>
      <c r="B3" s="2" t="inlineStr">
        <is>
          <t>Source</t>
        </is>
      </c>
      <c r="C3" s="2" t="inlineStr">
        <is>
          <t>Place ID</t>
        </is>
      </c>
      <c r="D3" s="2" t="inlineStr">
        <is>
          <t>Name</t>
        </is>
      </c>
      <c r="E3" s="2" t="inlineStr">
        <is>
          <t>Address</t>
        </is>
      </c>
      <c r="F3" s="2" t="inlineStr">
        <is>
          <t>Rating</t>
        </is>
      </c>
      <c r="G3" s="2" t="inlineStr">
        <is>
          <t>Review Count</t>
        </is>
      </c>
      <c r="H3" s="2" t="inlineStr">
        <is>
          <t>URL</t>
        </is>
      </c>
    </row>
    <row r="4">
      <c r="A4" s="3" t="inlineStr">
        <is>
          <t>Subway</t>
        </is>
      </c>
      <c r="B4" s="3" t="inlineStr">
        <is>
          <t>google_maps</t>
        </is>
      </c>
      <c r="C4" s="3" t="inlineStr">
        <is>
          <t>ChIJFdlGXhFawokR7lPqXwaGirc</t>
        </is>
      </c>
      <c r="D4" s="3" t="inlineStr">
        <is>
          <t>Subway</t>
        </is>
      </c>
      <c r="E4" s="3" t="inlineStr">
        <is>
          <t>11 Broadway Unit 155, New York, NY 10004, United States</t>
        </is>
      </c>
      <c r="F4" s="3" t="n">
        <v>3.7</v>
      </c>
      <c r="G4" s="3" t="n">
        <v>397</v>
      </c>
      <c r="H4" s="3" t="inlineStr">
        <is>
          <t>https://www.google.com/maps/place/Subway/@40.7051201,-74.0140463,17z/data=!3m1!4b1!4m6!3m5!1s0x89c25a115e46d915:0xb78a86065fea53ee!8m2!3d40.7051201!4d-74.0140463!16s%2Fg%2F1tfgkr14?authuser=0&amp;hl=en&amp;entry=ttu&amp;g_ep=EgoyMDI2MTAwNy4wIKXMDSoASAFQAw%3D%3D</t>
        </is>
      </c>
    </row>
    <row r="5">
      <c r="A5" s="3" t="inlineStr">
        <is>
          <t>Subway</t>
        </is>
      </c>
      <c r="B5" s="3" t="inlineStr">
        <is>
          <t>google_maps</t>
        </is>
      </c>
      <c r="C5" s="3" t="inlineStr">
        <is>
          <t>ChIJf2wDyphZwokRsWXWkbCegPk</t>
        </is>
      </c>
      <c r="D5" s="3" t="inlineStr">
        <is>
          <t>Subway</t>
        </is>
      </c>
      <c r="E5" s="3" t="inlineStr">
        <is>
          <t>113 E 14th St, New York, NY 10003, United States</t>
        </is>
      </c>
      <c r="F5" s="3" t="n">
        <v>4.4</v>
      </c>
      <c r="G5" s="3" t="n">
        <v>470</v>
      </c>
      <c r="H5" s="3" t="inlineStr">
        <is>
          <t>https://www.google.com/maps/place/Subway/@40.7343223,-73.9889831,17z/data=!3m1!4b1!4m6!3m5!1s0x89c25998ca036c7f:0xf9809eb091d665b1!8m2!3d40.7343223!4d-73.9889831!16s%2Fg%2F1tjv4fbq?authuser=0&amp;hl=en&amp;entry=ttu&amp;g_ep=EgoyMDI2MTAwNy4wIKXMDSoASAFQAw%3D%3D</t>
        </is>
      </c>
    </row>
    <row r="6">
      <c r="A6" s="3" t="inlineStr">
        <is>
          <t>Subway</t>
        </is>
      </c>
      <c r="B6" s="3" t="inlineStr">
        <is>
          <t>google_maps</t>
        </is>
      </c>
      <c r="C6" s="3" t="inlineStr">
        <is>
          <t>ChIJmfeCa1HHwoARbPQGXWFFZZM</t>
        </is>
      </c>
      <c r="D6" s="3" t="inlineStr">
        <is>
          <t>Subway</t>
        </is>
      </c>
      <c r="E6" s="3" t="inlineStr">
        <is>
          <t>1018 N Vermont Ave, Los Angeles, CA 90029, United States</t>
        </is>
      </c>
      <c r="F6" s="3" t="n">
        <v>3.9</v>
      </c>
      <c r="G6" s="3" t="n">
        <v>224</v>
      </c>
      <c r="H6" s="3" t="inlineStr">
        <is>
          <t>https://www.google.com/maps/place/Subway/data=!4m7!3m6!1s0x80c2c7516b82f799:0x936545615d06f46c!8m2!3d34.0902684!4d-118.2915331!16s%2Fg%2F1v41_qwt!19sChIJmfeCa1HHwoARbPQGXWFFZZM?authuser=0&amp;hl=en&amp;rclk=1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0" customWidth="1" min="1" max="1"/>
    <col width="10" customWidth="1" min="2" max="2"/>
    <col width="10" customWidth="1" min="3" max="3"/>
    <col width="15" customWidth="1" min="4" max="4"/>
    <col width="15" customWidth="1" min="5" max="5"/>
    <col width="15" customWidth="1" min="6" max="6"/>
    <col width="15" customWidth="1" min="7" max="7"/>
    <col width="20" customWidth="1" min="8" max="8"/>
    <col width="20" customWidth="1" min="9" max="9"/>
  </cols>
  <sheetData>
    <row r="1">
      <c r="A1" s="1" t="inlineStr">
        <is>
          <t>Study Insights: T13 Subway</t>
        </is>
      </c>
    </row>
    <row r="2">
      <c r="A2" s="3" t="inlineStr">
        <is>
          <t>Focus Brand</t>
        </is>
      </c>
      <c r="B2" s="3" t="inlineStr">
        <is>
          <t>Subway</t>
        </is>
      </c>
    </row>
    <row r="4">
      <c r="A4" s="2" t="inlineStr">
        <is>
          <t>Brand</t>
        </is>
      </c>
      <c r="B4" s="2" t="inlineStr">
        <is>
          <t>Reviews</t>
        </is>
      </c>
      <c r="C4" s="2" t="inlineStr">
        <is>
          <t>Mentions</t>
        </is>
      </c>
      <c r="D4" s="2" t="inlineStr">
        <is>
          <t>Share of Voice</t>
        </is>
      </c>
      <c r="E4" s="2" t="inlineStr">
        <is>
          <t>Mean Rating</t>
        </is>
      </c>
      <c r="F4" s="2" t="inlineStr">
        <is>
          <t>Mean Sentiment</t>
        </is>
      </c>
      <c r="G4" s="2" t="inlineStr">
        <is>
          <t>% Negative</t>
        </is>
      </c>
      <c r="H4" s="2" t="inlineStr">
        <is>
          <t>Sentiment vs Focus</t>
        </is>
      </c>
      <c r="I4" s="2" t="inlineStr">
        <is>
          <t>Rating vs Focus</t>
        </is>
      </c>
    </row>
    <row r="5">
      <c r="A5" s="3" t="inlineStr">
        <is>
          <t>Subway</t>
        </is>
      </c>
      <c r="B5" s="3" t="n">
        <v>15</v>
      </c>
      <c r="C5" s="3" t="n">
        <v>59</v>
      </c>
      <c r="D5" s="4" t="n">
        <v>1</v>
      </c>
      <c r="E5" s="5" t="n">
        <v>2.933</v>
      </c>
      <c r="F5" s="5" t="n">
        <v>-0.102</v>
      </c>
      <c r="G5" s="4" t="n">
        <v>0.542</v>
      </c>
      <c r="H5" s="5" t="n"/>
      <c r="I5" s="5" t="n"/>
    </row>
  </sheetData>
  <conditionalFormatting sqref="F5">
    <cfRule type="colorScale" priority="1">
      <colorScale>
        <cfvo type="num" val="-1"/>
        <cfvo type="num" val="0"/>
        <cfvo type="num" val="1"/>
        <color rgb="00F8696B"/>
        <color rgb="00FFFFFF"/>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20" customWidth="1" min="2" max="2"/>
  </cols>
  <sheetData>
    <row r="1">
      <c r="A1" s="6" t="inlineStr">
        <is>
          <t>Average Sentiment by Aspect &amp; Brand</t>
        </is>
      </c>
    </row>
    <row r="3">
      <c r="A3" s="2" t="inlineStr">
        <is>
          <t>Aspect</t>
        </is>
      </c>
      <c r="B3" s="2" t="inlineStr">
        <is>
          <t>Subway</t>
        </is>
      </c>
    </row>
    <row r="4">
      <c r="A4" s="3" t="inlineStr">
        <is>
          <t>bread</t>
        </is>
      </c>
      <c r="B4" s="5" t="n">
        <v>-1</v>
      </c>
    </row>
    <row r="5">
      <c r="A5" s="3" t="inlineStr">
        <is>
          <t>cleanliness</t>
        </is>
      </c>
      <c r="B5" s="5" t="n">
        <v>0.333</v>
      </c>
    </row>
    <row r="6">
      <c r="A6" s="3" t="inlineStr">
        <is>
          <t>delivery_app</t>
        </is>
      </c>
      <c r="B6" s="5" t="n">
        <v>1</v>
      </c>
    </row>
    <row r="7">
      <c r="A7" s="3" t="inlineStr">
        <is>
          <t>freshness</t>
        </is>
      </c>
      <c r="B7" s="5" t="n">
        <v>-0.143</v>
      </c>
    </row>
    <row r="8">
      <c r="A8" s="3" t="inlineStr">
        <is>
          <t>general</t>
        </is>
      </c>
      <c r="B8" s="5" t="n">
        <v>-0.05</v>
      </c>
    </row>
    <row r="9">
      <c r="A9" s="3" t="inlineStr">
        <is>
          <t>order_accuracy</t>
        </is>
      </c>
      <c r="B9" s="5" t="n">
        <v>0</v>
      </c>
    </row>
    <row r="10">
      <c r="A10" s="3" t="inlineStr">
        <is>
          <t>portion</t>
        </is>
      </c>
      <c r="B10" s="5" t="n">
        <v>0</v>
      </c>
    </row>
    <row r="11">
      <c r="A11" s="3" t="inlineStr">
        <is>
          <t>price_value</t>
        </is>
      </c>
      <c r="B11" s="5" t="n">
        <v>0</v>
      </c>
    </row>
    <row r="12">
      <c r="A12" s="3" t="inlineStr">
        <is>
          <t>service_staff</t>
        </is>
      </c>
      <c r="B12" s="5" t="n">
        <v>-0.354</v>
      </c>
    </row>
    <row r="13">
      <c r="A13" s="3" t="inlineStr">
        <is>
          <t>taste</t>
        </is>
      </c>
      <c r="B13" s="5" t="n">
        <v>0.333</v>
      </c>
    </row>
    <row r="14">
      <c r="A14" s="3" t="inlineStr">
        <is>
          <t>wait_time</t>
        </is>
      </c>
      <c r="B14" s="5" t="n">
        <v>1</v>
      </c>
    </row>
  </sheetData>
  <conditionalFormatting sqref="B4:B14">
    <cfRule type="colorScale" priority="1">
      <colorScale>
        <cfvo type="num" val="-1"/>
        <cfvo type="num" val="0"/>
        <cfvo type="num" val="1"/>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20" customWidth="1" min="2" max="2"/>
  </cols>
  <sheetData>
    <row r="1">
      <c r="A1" s="6" t="inlineStr">
        <is>
          <t>Monthly Average Sentiment by Brand</t>
        </is>
      </c>
    </row>
    <row r="3">
      <c r="A3" s="2" t="inlineStr">
        <is>
          <t>Month</t>
        </is>
      </c>
      <c r="B3" s="2" t="inlineStr">
        <is>
          <t>Subway</t>
        </is>
      </c>
    </row>
    <row r="4">
      <c r="A4" s="3" t="inlineStr">
        <is>
          <t>2023-08</t>
        </is>
      </c>
      <c r="B4" s="5" t="n">
        <v>-0.083</v>
      </c>
    </row>
    <row r="5">
      <c r="A5" s="3" t="inlineStr">
        <is>
          <t>2025-11</t>
        </is>
      </c>
      <c r="B5" s="5" t="n">
        <v>-1</v>
      </c>
    </row>
    <row r="6">
      <c r="A6" s="3" t="inlineStr">
        <is>
          <t>2026-01</t>
        </is>
      </c>
      <c r="B6" s="5" t="n">
        <v>0.2</v>
      </c>
    </row>
    <row r="7">
      <c r="A7" s="3" t="inlineStr">
        <is>
          <t>2026-03</t>
        </is>
      </c>
      <c r="B7" s="5" t="n">
        <v>0.375</v>
      </c>
    </row>
    <row r="8">
      <c r="A8" s="3" t="inlineStr">
        <is>
          <t>2026-04</t>
        </is>
      </c>
      <c r="B8" s="5" t="n">
        <v>0.111</v>
      </c>
    </row>
    <row r="9">
      <c r="A9" s="3" t="inlineStr">
        <is>
          <t>2026-05</t>
        </is>
      </c>
      <c r="B9" s="5" t="n">
        <v>1</v>
      </c>
    </row>
    <row r="10">
      <c r="A10" s="3" t="inlineStr">
        <is>
          <t>2026-07</t>
        </is>
      </c>
      <c r="B10" s="5" t="n">
        <v>-0.5</v>
      </c>
    </row>
    <row r="11">
      <c r="A11" s="3" t="inlineStr">
        <is>
          <t>2026-08</t>
        </is>
      </c>
      <c r="B11" s="5" t="n">
        <v>-0.6</v>
      </c>
    </row>
    <row r="12">
      <c r="A12" s="3" t="inlineStr">
        <is>
          <t>2026-09</t>
        </is>
      </c>
      <c r="B12" s="5" t="n">
        <v>-0.5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2026-10-12T19:17:39Z</dcterms:created>
  <dcterms:modified xsi:type="dcterms:W3CDTF">2026-10-12T19:17:39Z</dcterms:modified>
</cp:coreProperties>
</file>